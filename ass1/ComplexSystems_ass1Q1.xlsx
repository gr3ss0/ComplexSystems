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og\Downloads\"/>
    </mc:Choice>
  </mc:AlternateContent>
  <xr:revisionPtr revIDLastSave="0" documentId="13_ncr:1_{FAD8AB5D-B3E7-4080-81E6-DC78C8AB762D}" xr6:coauthVersionLast="47" xr6:coauthVersionMax="47" xr10:uidLastSave="{00000000-0000-0000-0000-000000000000}"/>
  <bookViews>
    <workbookView xWindow="19090" yWindow="-10860" windowWidth="38620" windowHeight="21100" xr2:uid="{075D2688-7CE0-4126-B922-73F264EFF5B1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F34" i="1"/>
  <c r="H34" i="1"/>
  <c r="H35" i="1"/>
  <c r="G36" i="1"/>
  <c r="E34" i="1"/>
  <c r="E33" i="1"/>
  <c r="C21" i="1"/>
  <c r="D21" i="1"/>
  <c r="E21" i="1"/>
  <c r="F21" i="1"/>
  <c r="C22" i="1"/>
  <c r="D22" i="1"/>
  <c r="E22" i="1"/>
  <c r="F22" i="1"/>
  <c r="C23" i="1"/>
  <c r="D23" i="1"/>
  <c r="E23" i="1"/>
  <c r="F23" i="1"/>
  <c r="D20" i="1"/>
  <c r="E20" i="1"/>
  <c r="F20" i="1"/>
  <c r="C20" i="1"/>
  <c r="D13" i="1"/>
  <c r="D24" i="1" s="1"/>
  <c r="E13" i="1"/>
  <c r="E24" i="1" s="1"/>
  <c r="F13" i="1"/>
  <c r="D17" i="1" s="1"/>
  <c r="C13" i="1"/>
  <c r="C24" i="1" s="1"/>
  <c r="G10" i="1"/>
  <c r="G21" i="1" s="1"/>
  <c r="G11" i="1"/>
  <c r="G22" i="1" s="1"/>
  <c r="G12" i="1"/>
  <c r="G23" i="1" s="1"/>
  <c r="G9" i="1"/>
  <c r="N9" i="1" s="1"/>
  <c r="J13" i="1" l="1"/>
  <c r="J9" i="1" s="1"/>
  <c r="M13" i="1"/>
  <c r="L13" i="1"/>
  <c r="L9" i="1" s="1"/>
  <c r="N10" i="1"/>
  <c r="M10" i="1" s="1"/>
  <c r="C16" i="1"/>
  <c r="F16" i="1"/>
  <c r="C17" i="1"/>
  <c r="G20" i="1"/>
  <c r="G25" i="1" s="1"/>
  <c r="E16" i="1"/>
  <c r="K13" i="1"/>
  <c r="M9" i="1"/>
  <c r="H33" i="1" s="1"/>
  <c r="E17" i="1"/>
  <c r="J10" i="1"/>
  <c r="N12" i="1"/>
  <c r="M12" i="1" s="1"/>
  <c r="H36" i="1" s="1"/>
  <c r="F17" i="1"/>
  <c r="F24" i="1"/>
  <c r="H24" i="1" s="1"/>
  <c r="D16" i="1"/>
  <c r="N11" i="1"/>
  <c r="M11" i="1" s="1"/>
  <c r="B19" i="1"/>
  <c r="L10" i="1" l="1"/>
  <c r="G34" i="1" s="1"/>
  <c r="K10" i="1"/>
  <c r="K11" i="1"/>
  <c r="F35" i="1" s="1"/>
  <c r="K9" i="1"/>
  <c r="F33" i="1" s="1"/>
  <c r="K12" i="1"/>
  <c r="F36" i="1" s="1"/>
  <c r="B32" i="1"/>
  <c r="L12" i="1"/>
  <c r="J12" i="1"/>
  <c r="E36" i="1" s="1"/>
  <c r="B29" i="1"/>
  <c r="B28" i="1"/>
  <c r="L11" i="1"/>
  <c r="G35" i="1" s="1"/>
  <c r="J11" i="1"/>
  <c r="E35" i="1" s="1"/>
  <c r="D32" i="1" l="1"/>
  <c r="B33" i="1" s="1"/>
</calcChain>
</file>

<file path=xl/sharedStrings.xml><?xml version="1.0" encoding="utf-8"?>
<sst xmlns="http://schemas.openxmlformats.org/spreadsheetml/2006/main" count="64" uniqueCount="29">
  <si>
    <t>Data</t>
  </si>
  <si>
    <t>x1</t>
  </si>
  <si>
    <t>x2</t>
  </si>
  <si>
    <t>x3</t>
  </si>
  <si>
    <t>x4</t>
  </si>
  <si>
    <t>y1</t>
  </si>
  <si>
    <t>y2</t>
  </si>
  <si>
    <t>y3</t>
  </si>
  <si>
    <t>y4</t>
  </si>
  <si>
    <t>marginal y</t>
  </si>
  <si>
    <t>marginal x</t>
  </si>
  <si>
    <t>Conditional distribution x|y=3</t>
  </si>
  <si>
    <t>Conditional distribution y|x=4</t>
  </si>
  <si>
    <t>Entropy</t>
  </si>
  <si>
    <t>Conditional Entropies</t>
  </si>
  <si>
    <t>H(X|Y) = X(X,Y)-X(Y)</t>
  </si>
  <si>
    <t>H(Y|X) = X(X,Y)-X(X)</t>
  </si>
  <si>
    <t>Mutual information</t>
  </si>
  <si>
    <t>H(X)+H(Y)-H(X,Y)</t>
  </si>
  <si>
    <t>Definition</t>
  </si>
  <si>
    <t>width</t>
  </si>
  <si>
    <t>Probability</t>
  </si>
  <si>
    <t>Independence</t>
  </si>
  <si>
    <t>NO, because p(x,y) != p(x)p(y)</t>
  </si>
  <si>
    <t>p(x)p(y)</t>
  </si>
  <si>
    <t>p(x,y)</t>
  </si>
  <si>
    <t>marginal p(x)</t>
  </si>
  <si>
    <t>marginal p(y)</t>
  </si>
  <si>
    <t>-1*p(x)*LN(p(x))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</si>
</sst>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"/>
    <numFmt numFmtId="172" formatCode="0.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172" fontId="1" fillId="0" borderId="1" xfId="0" applyNumberFormat="1" applyFont="1" applyBorder="1"/>
    <xf numFmtId="172" fontId="0" fillId="0" borderId="1" xfId="0" applyNumberFormat="1" applyBorder="1"/>
    <xf numFmtId="172" fontId="0" fillId="0" borderId="0" xfId="0" applyNumberFormat="1" applyBorder="1"/>
    <xf numFmtId="172" fontId="1" fillId="0" borderId="0" xfId="0" applyNumberFormat="1" applyFont="1" applyBorder="1"/>
    <xf numFmtId="171" fontId="1" fillId="0" borderId="0" xfId="0" applyNumberFormat="1" applyFont="1" applyBorder="1"/>
    <xf numFmtId="171" fontId="0" fillId="0" borderId="0" xfId="0" applyNumberFormat="1" applyBorder="1"/>
    <xf numFmtId="171" fontId="0" fillId="0" borderId="2" xfId="0" applyNumberFormat="1" applyBorder="1"/>
    <xf numFmtId="49" fontId="0" fillId="0" borderId="0" xfId="0" applyNumberFormat="1" applyFill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5B8A-96B1-4BAB-8025-5F5AF1ECA639}">
  <dimension ref="A1:O36"/>
  <sheetViews>
    <sheetView tabSelected="1" workbookViewId="0">
      <selection activeCell="B15" sqref="B15"/>
    </sheetView>
  </sheetViews>
  <sheetFormatPr defaultRowHeight="15" x14ac:dyDescent="0.25"/>
  <cols>
    <col min="1" max="1" width="18.85546875" customWidth="1"/>
    <col min="2" max="2" width="12.85546875" customWidth="1"/>
    <col min="3" max="7" width="10.28515625" customWidth="1"/>
    <col min="9" max="9" width="12.85546875" bestFit="1" customWidth="1"/>
    <col min="14" max="14" width="8.85546875" customWidth="1"/>
  </cols>
  <sheetData>
    <row r="1" spans="1:15" x14ac:dyDescent="0.25">
      <c r="A1" s="13" t="s">
        <v>0</v>
      </c>
      <c r="B1" s="2" t="s">
        <v>20</v>
      </c>
      <c r="C1" s="2">
        <v>0.23749999999999999</v>
      </c>
      <c r="D1" s="2"/>
      <c r="E1" s="2"/>
      <c r="F1" s="2"/>
      <c r="G1" s="2" t="s">
        <v>20</v>
      </c>
      <c r="H1" s="2">
        <v>0.215</v>
      </c>
      <c r="I1" s="2"/>
      <c r="J1" s="2"/>
      <c r="K1" s="2"/>
      <c r="L1" s="2"/>
      <c r="M1" s="2"/>
      <c r="N1" s="2"/>
      <c r="O1" s="2"/>
    </row>
    <row r="2" spans="1:15" x14ac:dyDescent="0.25">
      <c r="A2" s="1"/>
      <c r="B2" s="1" t="s">
        <v>1</v>
      </c>
      <c r="C2" s="1">
        <v>0.03</v>
      </c>
      <c r="D2" s="1">
        <v>0.14000000000000001</v>
      </c>
      <c r="E2" s="1">
        <v>0.18</v>
      </c>
      <c r="F2" s="1"/>
      <c r="G2" s="1" t="s">
        <v>5</v>
      </c>
      <c r="H2" s="1">
        <v>0.09</v>
      </c>
      <c r="I2" s="1">
        <v>0.15</v>
      </c>
      <c r="J2" s="1"/>
      <c r="K2" s="1"/>
      <c r="L2" s="1"/>
      <c r="M2" s="1"/>
      <c r="N2" s="1"/>
      <c r="O2" s="1"/>
    </row>
    <row r="3" spans="1:15" x14ac:dyDescent="0.25">
      <c r="A3" s="1"/>
      <c r="B3" s="1" t="s">
        <v>2</v>
      </c>
      <c r="C3" s="1">
        <v>0.3</v>
      </c>
      <c r="D3" s="1">
        <v>0.39</v>
      </c>
      <c r="E3" s="1">
        <v>0.49</v>
      </c>
      <c r="F3" s="1"/>
      <c r="G3" s="1" t="s">
        <v>6</v>
      </c>
      <c r="H3" s="1">
        <v>0.48</v>
      </c>
      <c r="I3" s="1"/>
      <c r="J3" s="1"/>
      <c r="K3" s="1"/>
      <c r="L3" s="1"/>
      <c r="M3" s="1"/>
      <c r="N3" s="1"/>
      <c r="O3" s="1"/>
    </row>
    <row r="4" spans="1:15" x14ac:dyDescent="0.25">
      <c r="A4" s="1"/>
      <c r="B4" s="1" t="s">
        <v>3</v>
      </c>
      <c r="C4" s="1">
        <v>0.54</v>
      </c>
      <c r="D4" s="1">
        <v>0.65</v>
      </c>
      <c r="E4" s="1"/>
      <c r="F4" s="1"/>
      <c r="G4" s="1" t="s">
        <v>7</v>
      </c>
      <c r="H4" s="1">
        <v>0.53</v>
      </c>
      <c r="I4" s="1">
        <v>0.65</v>
      </c>
      <c r="J4" s="1">
        <v>0.71</v>
      </c>
      <c r="K4" s="1"/>
      <c r="L4" s="1"/>
      <c r="M4" s="1"/>
      <c r="N4" s="1"/>
      <c r="O4" s="1"/>
    </row>
    <row r="5" spans="1:15" ht="15.75" thickBot="1" x14ac:dyDescent="0.3">
      <c r="A5" s="3"/>
      <c r="B5" s="3" t="s">
        <v>4</v>
      </c>
      <c r="C5" s="3">
        <v>0.91</v>
      </c>
      <c r="D5" s="3">
        <v>0.98</v>
      </c>
      <c r="E5" s="3"/>
      <c r="F5" s="3"/>
      <c r="G5" s="3" t="s">
        <v>8</v>
      </c>
      <c r="H5" s="3">
        <v>0.74</v>
      </c>
      <c r="I5" s="3">
        <v>0.8</v>
      </c>
      <c r="J5" s="3">
        <v>0.88</v>
      </c>
      <c r="K5" s="3">
        <v>0.95</v>
      </c>
      <c r="L5" s="3"/>
      <c r="M5" s="3"/>
      <c r="N5" s="3"/>
      <c r="O5" s="3"/>
    </row>
    <row r="7" spans="1:15" x14ac:dyDescent="0.25">
      <c r="A7" s="13" t="s">
        <v>21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1"/>
      <c r="B8" s="16" t="s">
        <v>25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27</v>
      </c>
      <c r="H8" s="1"/>
      <c r="I8" s="16" t="s">
        <v>24</v>
      </c>
      <c r="J8" s="1" t="s">
        <v>1</v>
      </c>
      <c r="K8" s="1" t="s">
        <v>2</v>
      </c>
      <c r="L8" s="1" t="s">
        <v>3</v>
      </c>
      <c r="M8" s="1" t="s">
        <v>4</v>
      </c>
      <c r="N8" s="1" t="s">
        <v>27</v>
      </c>
      <c r="O8" s="1"/>
    </row>
    <row r="9" spans="1:15" x14ac:dyDescent="0.25">
      <c r="A9" s="1"/>
      <c r="B9" s="1" t="s">
        <v>5</v>
      </c>
      <c r="C9" s="1">
        <v>0</v>
      </c>
      <c r="D9" s="1">
        <v>0.1</v>
      </c>
      <c r="E9" s="1">
        <v>0</v>
      </c>
      <c r="F9" s="1">
        <v>0.1</v>
      </c>
      <c r="G9" s="1">
        <f>SUM(C9:F9)</f>
        <v>0.2</v>
      </c>
      <c r="H9" s="1"/>
      <c r="I9" s="1" t="s">
        <v>5</v>
      </c>
      <c r="J9" s="1">
        <f>N9*$J$13</f>
        <v>6.0000000000000012E-2</v>
      </c>
      <c r="K9" s="1">
        <f>K$13*$N9</f>
        <v>6.0000000000000012E-2</v>
      </c>
      <c r="L9" s="1">
        <f t="shared" ref="L9:M12" si="0">L$13*$N9</f>
        <v>4.0000000000000008E-2</v>
      </c>
      <c r="M9" s="1">
        <f t="shared" si="0"/>
        <v>4.0000000000000008E-2</v>
      </c>
      <c r="N9" s="1">
        <f>G9</f>
        <v>0.2</v>
      </c>
      <c r="O9" s="1"/>
    </row>
    <row r="10" spans="1:15" x14ac:dyDescent="0.25">
      <c r="A10" s="1"/>
      <c r="B10" s="1" t="s">
        <v>6</v>
      </c>
      <c r="C10" s="1">
        <v>0</v>
      </c>
      <c r="D10" s="1">
        <v>0</v>
      </c>
      <c r="E10" s="1">
        <v>0.1</v>
      </c>
      <c r="F10" s="1">
        <v>0</v>
      </c>
      <c r="G10" s="1">
        <f t="shared" ref="G10:G12" si="1">SUM(C10:F10)</f>
        <v>0.1</v>
      </c>
      <c r="H10" s="1"/>
      <c r="I10" s="1" t="s">
        <v>6</v>
      </c>
      <c r="J10" s="1">
        <f t="shared" ref="J10:J12" si="2">N10*$J$13</f>
        <v>3.0000000000000006E-2</v>
      </c>
      <c r="K10" s="1">
        <f t="shared" ref="K10:K12" si="3">$K$13*N10</f>
        <v>3.0000000000000006E-2</v>
      </c>
      <c r="L10" s="1">
        <f t="shared" ref="L10:L12" si="4">L$13*N10</f>
        <v>2.0000000000000004E-2</v>
      </c>
      <c r="M10" s="1">
        <f t="shared" si="0"/>
        <v>2.0000000000000004E-2</v>
      </c>
      <c r="N10" s="1">
        <f t="shared" ref="N10:N12" si="5">G10</f>
        <v>0.1</v>
      </c>
      <c r="O10" s="1"/>
    </row>
    <row r="11" spans="1:15" x14ac:dyDescent="0.25">
      <c r="A11" s="1"/>
      <c r="B11" s="1" t="s">
        <v>7</v>
      </c>
      <c r="C11" s="1">
        <v>0.1</v>
      </c>
      <c r="D11" s="1">
        <v>0.1</v>
      </c>
      <c r="E11" s="1">
        <v>0.1</v>
      </c>
      <c r="F11" s="1">
        <v>0</v>
      </c>
      <c r="G11" s="1">
        <f t="shared" si="1"/>
        <v>0.30000000000000004</v>
      </c>
      <c r="H11" s="1"/>
      <c r="I11" s="1" t="s">
        <v>7</v>
      </c>
      <c r="J11" s="1">
        <f t="shared" si="2"/>
        <v>9.0000000000000024E-2</v>
      </c>
      <c r="K11" s="1">
        <f t="shared" si="3"/>
        <v>9.0000000000000024E-2</v>
      </c>
      <c r="L11" s="1">
        <f t="shared" si="4"/>
        <v>6.0000000000000012E-2</v>
      </c>
      <c r="M11" s="1">
        <f t="shared" si="0"/>
        <v>6.0000000000000012E-2</v>
      </c>
      <c r="N11" s="1">
        <f t="shared" si="5"/>
        <v>0.30000000000000004</v>
      </c>
      <c r="O11" s="1"/>
    </row>
    <row r="12" spans="1:15" x14ac:dyDescent="0.25">
      <c r="A12" s="1"/>
      <c r="B12" s="1" t="s">
        <v>8</v>
      </c>
      <c r="C12" s="1">
        <v>0.2</v>
      </c>
      <c r="D12" s="1">
        <v>0.1</v>
      </c>
      <c r="E12" s="1">
        <v>0</v>
      </c>
      <c r="F12" s="1">
        <v>0.1</v>
      </c>
      <c r="G12" s="1">
        <f t="shared" si="1"/>
        <v>0.4</v>
      </c>
      <c r="H12" s="1"/>
      <c r="I12" s="1" t="s">
        <v>8</v>
      </c>
      <c r="J12" s="1">
        <f t="shared" si="2"/>
        <v>0.12000000000000002</v>
      </c>
      <c r="K12" s="1">
        <f t="shared" si="3"/>
        <v>0.12000000000000002</v>
      </c>
      <c r="L12" s="1">
        <f t="shared" si="4"/>
        <v>8.0000000000000016E-2</v>
      </c>
      <c r="M12" s="1">
        <f t="shared" si="0"/>
        <v>8.0000000000000016E-2</v>
      </c>
      <c r="N12" s="1">
        <f t="shared" si="5"/>
        <v>0.4</v>
      </c>
      <c r="O12" s="1"/>
    </row>
    <row r="13" spans="1:15" ht="15.75" thickBot="1" x14ac:dyDescent="0.3">
      <c r="A13" s="3"/>
      <c r="B13" s="3" t="s">
        <v>26</v>
      </c>
      <c r="C13" s="3">
        <f>SUM(C9:C12)</f>
        <v>0.30000000000000004</v>
      </c>
      <c r="D13" s="3">
        <f t="shared" ref="D13:F13" si="6">SUM(D9:D12)</f>
        <v>0.30000000000000004</v>
      </c>
      <c r="E13" s="3">
        <f t="shared" si="6"/>
        <v>0.2</v>
      </c>
      <c r="F13" s="3">
        <f t="shared" si="6"/>
        <v>0.2</v>
      </c>
      <c r="G13" s="3"/>
      <c r="H13" s="3"/>
      <c r="I13" s="3" t="s">
        <v>26</v>
      </c>
      <c r="J13" s="3">
        <f>C13</f>
        <v>0.30000000000000004</v>
      </c>
      <c r="K13" s="3">
        <f t="shared" ref="K13:M13" si="7">D13</f>
        <v>0.30000000000000004</v>
      </c>
      <c r="L13" s="3">
        <f t="shared" si="7"/>
        <v>0.2</v>
      </c>
      <c r="M13" s="3">
        <f t="shared" si="7"/>
        <v>0.2</v>
      </c>
      <c r="N13" s="3"/>
      <c r="O13" s="3"/>
    </row>
    <row r="15" spans="1:15" x14ac:dyDescent="0.25">
      <c r="A15" s="14" t="s">
        <v>22</v>
      </c>
      <c r="B15" t="s">
        <v>23</v>
      </c>
    </row>
    <row r="16" spans="1:15" x14ac:dyDescent="0.25">
      <c r="A16" s="13" t="s">
        <v>11</v>
      </c>
      <c r="B16" s="2"/>
      <c r="C16" s="4">
        <f>C11/$G11</f>
        <v>0.33333333333333331</v>
      </c>
      <c r="D16" s="4">
        <f t="shared" ref="D16:F16" si="8">D11/$G11</f>
        <v>0.33333333333333331</v>
      </c>
      <c r="E16" s="4">
        <f t="shared" si="8"/>
        <v>0.33333333333333331</v>
      </c>
      <c r="F16" s="4">
        <f t="shared" si="8"/>
        <v>0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ht="15.75" thickBot="1" x14ac:dyDescent="0.3">
      <c r="A17" s="15" t="s">
        <v>12</v>
      </c>
      <c r="B17" s="3"/>
      <c r="C17" s="3">
        <f>F9/F13</f>
        <v>0.5</v>
      </c>
      <c r="D17" s="3">
        <f>F10/F13</f>
        <v>0</v>
      </c>
      <c r="E17" s="3">
        <f>F11/F13</f>
        <v>0</v>
      </c>
      <c r="F17" s="3">
        <f>F12/F13</f>
        <v>0.5</v>
      </c>
      <c r="G17" s="3"/>
      <c r="H17" s="3"/>
      <c r="I17" s="3"/>
      <c r="J17" s="3"/>
      <c r="K17" s="3"/>
      <c r="L17" s="3"/>
      <c r="M17" s="3"/>
      <c r="N17" s="3"/>
      <c r="O17" s="3"/>
    </row>
    <row r="19" spans="1:15" x14ac:dyDescent="0.25">
      <c r="A19" s="13" t="s">
        <v>13</v>
      </c>
      <c r="B19" s="5">
        <f>SUM(C20:F23)</f>
        <v>2.1639556568820564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9</v>
      </c>
      <c r="H19" s="6"/>
      <c r="I19" s="2"/>
      <c r="J19" s="2"/>
      <c r="K19" s="2"/>
      <c r="L19" s="2"/>
      <c r="M19" s="2"/>
      <c r="N19" s="2"/>
      <c r="O19" s="2"/>
    </row>
    <row r="20" spans="1:15" x14ac:dyDescent="0.25">
      <c r="A20" s="12" t="s">
        <v>28</v>
      </c>
      <c r="B20" s="1" t="s">
        <v>5</v>
      </c>
      <c r="C20" s="7">
        <f>IF(C9&gt;0, -C9*LN(C9), 0)</f>
        <v>0</v>
      </c>
      <c r="D20" s="7">
        <f t="shared" ref="D20:G20" si="9">IF(D9&gt;0, -D9*LN(D9), 0)</f>
        <v>0.23025850929940456</v>
      </c>
      <c r="E20" s="7">
        <f t="shared" si="9"/>
        <v>0</v>
      </c>
      <c r="F20" s="7">
        <f t="shared" si="9"/>
        <v>0.23025850929940456</v>
      </c>
      <c r="G20" s="7">
        <f t="shared" si="9"/>
        <v>0.32188758248682009</v>
      </c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 t="s">
        <v>6</v>
      </c>
      <c r="C21" s="7">
        <f t="shared" ref="C21:G21" si="10">IF(C10&gt;0, -C10*LN(C10), 0)</f>
        <v>0</v>
      </c>
      <c r="D21" s="7">
        <f t="shared" si="10"/>
        <v>0</v>
      </c>
      <c r="E21" s="7">
        <f t="shared" si="10"/>
        <v>0.23025850929940456</v>
      </c>
      <c r="F21" s="7">
        <f t="shared" si="10"/>
        <v>0</v>
      </c>
      <c r="G21" s="7">
        <f t="shared" si="10"/>
        <v>0.23025850929940456</v>
      </c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 t="s">
        <v>7</v>
      </c>
      <c r="C22" s="7">
        <f t="shared" ref="C22:G22" si="11">IF(C11&gt;0, -C11*LN(C11), 0)</f>
        <v>0.23025850929940456</v>
      </c>
      <c r="D22" s="7">
        <f t="shared" si="11"/>
        <v>0.23025850929940456</v>
      </c>
      <c r="E22" s="7">
        <f t="shared" si="11"/>
        <v>0.23025850929940456</v>
      </c>
      <c r="F22" s="7">
        <f t="shared" si="11"/>
        <v>0</v>
      </c>
      <c r="G22" s="7">
        <f t="shared" si="11"/>
        <v>0.36119184129778081</v>
      </c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 t="s">
        <v>8</v>
      </c>
      <c r="C23" s="7">
        <f t="shared" ref="C23:G23" si="12">IF(C12&gt;0, -C12*LN(C12), 0)</f>
        <v>0.32188758248682009</v>
      </c>
      <c r="D23" s="7">
        <f t="shared" si="12"/>
        <v>0.23025850929940456</v>
      </c>
      <c r="E23" s="7">
        <f t="shared" si="12"/>
        <v>0</v>
      </c>
      <c r="F23" s="7">
        <f t="shared" si="12"/>
        <v>0.23025850929940456</v>
      </c>
      <c r="G23" s="7">
        <f t="shared" si="12"/>
        <v>0.36651629274966202</v>
      </c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 t="s">
        <v>10</v>
      </c>
      <c r="C24" s="7">
        <f>IF(C13&gt;0, -C13*LN(C13), 0)</f>
        <v>0.36119184129778081</v>
      </c>
      <c r="D24" s="7">
        <f>IF(D13&gt;0, -D13*LN(D13), 0)</f>
        <v>0.36119184129778081</v>
      </c>
      <c r="E24" s="7">
        <f>IF(E13&gt;0, -E13*LN(E13), 0)</f>
        <v>0.32188758248682009</v>
      </c>
      <c r="F24" s="7">
        <f>IF(F13&gt;0, -F13*LN(F13), 0)</f>
        <v>0.32188758248682009</v>
      </c>
      <c r="G24" s="7"/>
      <c r="H24" s="8">
        <f>SUM(C24:F24)</f>
        <v>1.3661588475692019</v>
      </c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8">
        <f>SUM(G20:G23)</f>
        <v>1.2798542258336676</v>
      </c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16" t="s">
        <v>14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 t="s">
        <v>15</v>
      </c>
      <c r="B28" s="8">
        <f>B19-G25</f>
        <v>0.88410143104838879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16</v>
      </c>
      <c r="B29" s="8">
        <f>B19-H24</f>
        <v>0.79779680931285446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16" t="s">
        <v>17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 t="s">
        <v>18</v>
      </c>
      <c r="B32" s="9">
        <f>G25+H24-B19</f>
        <v>0.48205741652081313</v>
      </c>
      <c r="C32" s="10"/>
      <c r="D32" s="10">
        <f>SUM(E33:H36)</f>
        <v>0.48205741652081258</v>
      </c>
      <c r="E32" s="10" t="s">
        <v>1</v>
      </c>
      <c r="F32" s="10" t="s">
        <v>2</v>
      </c>
      <c r="G32" s="10" t="s">
        <v>3</v>
      </c>
      <c r="H32" s="10" t="s">
        <v>4</v>
      </c>
      <c r="I32" s="1"/>
      <c r="J32" s="1"/>
      <c r="K32" s="1"/>
      <c r="L32" s="1"/>
      <c r="M32" s="1"/>
      <c r="N32" s="1"/>
      <c r="O32" s="1"/>
    </row>
    <row r="33" spans="1:15" x14ac:dyDescent="0.25">
      <c r="A33" s="1" t="s">
        <v>19</v>
      </c>
      <c r="B33" s="9">
        <f>D32</f>
        <v>0.48205741652081258</v>
      </c>
      <c r="C33" s="10"/>
      <c r="D33" s="10" t="s">
        <v>5</v>
      </c>
      <c r="E33" s="10">
        <f>IF(C9&gt;0, C9*LN(C9/J9),0)</f>
        <v>0</v>
      </c>
      <c r="F33" s="10">
        <f>IF(D9&gt;0, D9*LN(D9/K9),0)</f>
        <v>5.1082562376599062E-2</v>
      </c>
      <c r="G33" s="10">
        <f>IF(E9&gt;0, E9*LN(E9/L9),0)</f>
        <v>0</v>
      </c>
      <c r="H33" s="10">
        <f>IF(F9&gt;0, F9*LN(F9/M9),0)</f>
        <v>9.1629073187415491E-2</v>
      </c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0"/>
      <c r="C34" s="10"/>
      <c r="D34" s="10" t="s">
        <v>6</v>
      </c>
      <c r="E34" s="10">
        <f t="shared" ref="E34:E36" si="13">IF(C10&gt;0, C10*LN(C10/J10),0)</f>
        <v>0</v>
      </c>
      <c r="F34" s="10">
        <f>IF(D10&gt;0, D10*LN(D10/K10),0)</f>
        <v>0</v>
      </c>
      <c r="G34" s="10">
        <f>IF(E10&gt;0, E10*LN(E10/L10),0)</f>
        <v>0.16094379124341004</v>
      </c>
      <c r="H34" s="10">
        <f>IF(F10&gt;0, F10*LN(F10/M10),0)</f>
        <v>0</v>
      </c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0"/>
      <c r="C35" s="10"/>
      <c r="D35" s="10" t="s">
        <v>7</v>
      </c>
      <c r="E35" s="10">
        <f t="shared" si="13"/>
        <v>1.0536051565782615E-2</v>
      </c>
      <c r="F35" s="10">
        <f>IF(D11&gt;0, D11*LN(D11/K11),0)</f>
        <v>1.0536051565782615E-2</v>
      </c>
      <c r="G35" s="10">
        <f>IF(E11&gt;0, E11*LN(E11/L11),0)</f>
        <v>5.1082562376599062E-2</v>
      </c>
      <c r="H35" s="10">
        <f>IF(F11&gt;0, F11*LN(F11/M11),0)</f>
        <v>0</v>
      </c>
      <c r="I35" s="1"/>
      <c r="J35" s="1"/>
      <c r="K35" s="1"/>
      <c r="L35" s="1"/>
      <c r="M35" s="1"/>
      <c r="N35" s="1"/>
      <c r="O35" s="1"/>
    </row>
    <row r="36" spans="1:15" ht="15.75" thickBot="1" x14ac:dyDescent="0.3">
      <c r="A36" s="3"/>
      <c r="B36" s="11"/>
      <c r="C36" s="11"/>
      <c r="D36" s="11" t="s">
        <v>8</v>
      </c>
      <c r="E36" s="11">
        <f t="shared" si="13"/>
        <v>0.10216512475319812</v>
      </c>
      <c r="F36" s="11">
        <f>IF(D12&gt;0, D12*LN(D12/K12),0)</f>
        <v>-1.823215567939547E-2</v>
      </c>
      <c r="G36" s="11">
        <f>IF(E12&gt;0, E12*LN(E12/L12),0)</f>
        <v>0</v>
      </c>
      <c r="H36" s="11">
        <f>IF(F12&gt;0, F12*LN(F12/M12),0)</f>
        <v>2.2314355131420958E-2</v>
      </c>
      <c r="I36" s="3"/>
      <c r="J36" s="3"/>
      <c r="K36" s="3"/>
      <c r="L36" s="3"/>
      <c r="M36" s="3"/>
      <c r="N36" s="3"/>
      <c r="O36" s="3"/>
    </row>
  </sheetData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Grešš</dc:creator>
  <cp:lastModifiedBy>Michal Grešš</cp:lastModifiedBy>
  <cp:lastPrinted>2026-04-20T19:20:56Z</cp:lastPrinted>
  <dcterms:created xsi:type="dcterms:W3CDTF">2026-04-20T18:37:08Z</dcterms:created>
  <dcterms:modified xsi:type="dcterms:W3CDTF">2026-04-20T19:56:22Z</dcterms:modified>
</cp:coreProperties>
</file>